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d5494d3e1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-25推薦" sheetId="1" r:id="Rb3b180eed3724331"/>
    <x:sheet xmlns:r="http://schemas.openxmlformats.org/officeDocument/2006/relationships" name="行程比較" sheetId="2" r:id="R3f3f35256e56444a"/>
    <x:sheet xmlns:r="http://schemas.openxmlformats.org/officeDocument/2006/relationships" name="逐日明細" sheetId="3" r:id="R2f516d9b2ea34039"/>
    <x:sheet xmlns:r="http://schemas.openxmlformats.org/officeDocument/2006/relationships" name="通路價差" sheetId="4" r:id="R975ed5e489e9470e"/>
    <x:sheet xmlns:r="http://schemas.openxmlformats.org/officeDocument/2006/relationships" name="評分規則" sheetId="5" r:id="R72f1dcb0439248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NT$&quot;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b/>
      <x:sz val="11"/>
      <x:color rgb="FF1D293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8B44F"/>
      </x:patternFill>
    </x:fill>
  </x:fills>
  <x:borders count="4">
    <x:border/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 wrapText="1"/>
    </x:xf>
    <x:xf numFmtId="20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 wrapText="1"/>
    </x:xf>
    <x:xf numFmtId="20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1" fillId="2" borderId="1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 wrapText="1"/>
    </x:xf>
    <x:xf numFmtId="200" fontId="0" fillId="0" borderId="3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05603A"/>
      </x:font>
      <x:fill>
        <x:patternFill patternType="solid">
          <x:bgColor rgb="FFD1FADF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6e959669043ad" /><Relationship Type="http://schemas.openxmlformats.org/officeDocument/2006/relationships/theme" Target="/xl/theme/theme1.xml" Id="R55a963d48f2f450b" /><Relationship Type="http://schemas.openxmlformats.org/officeDocument/2006/relationships/sharedStrings" Target="/xl/sharedStrings.xml" Id="R53be704bc1ad440b" /><Relationship Type="http://schemas.openxmlformats.org/officeDocument/2006/relationships/worksheet" Target="/xl/worksheets/sheet1.xml" Id="Rb3b180eed3724331" /><Relationship Type="http://schemas.openxmlformats.org/officeDocument/2006/relationships/worksheet" Target="/xl/worksheets/sheet2.xml" Id="R3f3f35256e56444a" /><Relationship Type="http://schemas.openxmlformats.org/officeDocument/2006/relationships/worksheet" Target="/xl/worksheets/sheet3.xml" Id="R2f516d9b2ea34039" /><Relationship Type="http://schemas.openxmlformats.org/officeDocument/2006/relationships/worksheet" Target="/xl/worksheets/sheet4.xml" Id="R975ed5e489e9470e" /><Relationship Type="http://schemas.openxmlformats.org/officeDocument/2006/relationships/worksheet" Target="/xl/worksheets/sheet5.xml" Id="R72f1dcb0439248e5" /><Relationship Type="http://schemas.microsoft.com/office/2017/10/relationships/person" Target="/xl/persons/person.xml" Id="R02548ab917bd4c2d" /></Relationships>
</file>

<file path=xl/persons/person.xml><?xml version="1.0" encoding="utf-8"?>
<xltc:personList xmlns:xltc="http://schemas.microsoft.com/office/spreadsheetml/2018/threadedcomments">
  <xltc:person displayName="zinojeng" id="{1580EBEC-5E8E-4A66-9841-D068511A3714}"/>
</xltc:personList>
</file>

<file path=xl/tables/table1.xml><?xml version="1.0" encoding="utf-8"?>
<x:table xmlns:x="http://schemas.openxmlformats.org/spreadsheetml/2006/main" id="1" name="Trips925Table" displayName="Trips925Table" ref="A1:Q10" headerRowCount="1" totalsRowCount="0" totalsRowShown="0">
  <x:tableColumns count="17">
    <x:tableColumn id="1" name="ID"/>
    <x:tableColumn id="2" name="建議"/>
    <x:tableColumn id="3" name="旅行社"/>
    <x:tableColumn id="4" name="產品碼"/>
    <x:tableColumn id="5" name="行程名稱"/>
    <x:tableColumn id="6" name="9/25售價"/>
    <x:tableColumn id="7" name="可售席次"/>
    <x:tableColumn id="8" name="遊樂園"/>
    <x:tableColumn id="9" name="自由日"/>
    <x:tableColumn id="10" name="自理餐"/>
    <x:tableColumn id="11" name="免稅店"/>
    <x:tableColumn id="12" name="購物站"/>
    <x:tableColumn id="13" name="工廠見學"/>
    <x:tableColumn id="14" name="偏好分數"/>
    <x:tableColumn id="15" name="判讀"/>
    <x:tableColumn id="16" name="來源網址"/>
    <x:tableColumn id="17" name="結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925Table" displayName="Daily925Table" ref="A1:H46" headerRowCount="1" totalsRowCount="0" totalsRowShown="0">
  <x:tableColumns count="8">
    <x:tableColumn id="1" name="ID"/>
    <x:tableColumn id="2" name="日次"/>
    <x:tableColumn id="3" name="每日路線"/>
    <x:tableColumn id="4" name="早餐"/>
    <x:tableColumn id="5" name="午餐"/>
    <x:tableColumn id="6" name="晚餐"/>
    <x:tableColumn id="7" name="自由／購物／自理註記"/>
    <x:tableColumn id="8" name="來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nnels925Table" displayName="Channels925Table" ref="A1:F11" headerRowCount="1" totalsRowCount="0" totalsRowShown="0">
  <x:tableColumns count="6">
    <x:tableColumn id="1" name="團型／產品碼"/>
    <x:tableColumn id="2" name="銷售旅行社或平台"/>
    <x:tableColumn id="3" name="9/25售價"/>
    <x:tableColumn id="4" name="可售席次"/>
    <x:tableColumn id="5" name="價格說明"/>
    <x:tableColumn id="6" name="來源網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da80f10e3f4c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ecd58bf91949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6fb77c618344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43" hidden="0" customWidth="1"/>
    <x:col min="4" max="4" width="13" hidden="0" customWidth="1"/>
    <x:col min="5" max="5" width="13" hidden="0" customWidth="1"/>
    <x:col min="6" max="6" width="24" hidden="0" customWidth="1"/>
    <x:col min="7" max="7" width="24" hidden="0" customWidth="1"/>
    <x:col min="8" max="8" width="34" hidden="0" customWidth="1"/>
  </x:cols>
  <x:sheetData>
    <x:row r="1" ht="28" customHeight="1">
      <x:c r="A1" s="22" t="str">
        <x:v>2026/09/25 台中直飛北九州：偏好型比較</x:v>
      </x:c>
      <x:c r="B1" s="22"/>
      <x:c r="C1" s="22"/>
      <x:c r="D1" s="22"/>
      <x:c r="E1" s="22"/>
      <x:c r="F1" s="22"/>
      <x:c r="G1" s="22"/>
      <x:c r="H1" s="22"/>
    </x:row>
    <x:row r="2" ht="28" customHeight="1">
      <x:c r="A2" s="22"/>
      <x:c r="B2" s="22"/>
      <x:c r="C2" s="22"/>
      <x:c r="D2" s="22"/>
      <x:c r="E2" s="22"/>
      <x:c r="F2" s="22"/>
      <x:c r="G2" s="22"/>
      <x:c r="H2" s="22"/>
    </x:row>
    <x:row r="3">
      <x:c r="A3" s="36"/>
      <x:c r="B3" s="36"/>
      <x:c r="C3" s="36"/>
      <x:c r="D3" s="36"/>
      <x:c r="E3" s="36"/>
      <x:c r="F3" s="36"/>
      <x:c r="G3" s="36"/>
      <x:c r="H3" s="36"/>
    </x:row>
    <x:row r="4">
      <x:c r="A4" s="37" t="str">
        <x:v>順位</x:v>
      </x:c>
      <x:c r="B4" s="37" t="str">
        <x:v>旅行社</x:v>
      </x:c>
      <x:c r="C4" s="37" t="str">
        <x:v>行程</x:v>
      </x:c>
      <x:c r="D4" s="37" t="str">
        <x:v>售價</x:v>
      </x:c>
      <x:c r="E4" s="37" t="str">
        <x:v>分數</x:v>
      </x:c>
      <x:c r="F4" s="37" t="str">
        <x:v>自由／自理</x:v>
      </x:c>
      <x:c r="G4" s="37" t="str">
        <x:v>購物量</x:v>
      </x:c>
      <x:c r="H4" s="37" t="str">
        <x:v>建議</x:v>
      </x:c>
    </x:row>
    <x:row r="5" ht="52" customHeight="1">
      <x:c r="A5" s="38" t="n">
        <x:v>1</x:v>
      </x:c>
      <x:c r="B5" s="38" t="str">
        <x:f>'行程比較'!C3</x:f>
        <x:v>華府旅行社</x:v>
      </x:c>
      <x:c r="C5" s="39" t="str">
        <x:f>'行程比較'!E3</x:f>
        <x:v>北九州山口5日：Safari Land、秋芳洞、琉璃光寺、元乃隅神社、角島</x:v>
      </x:c>
      <x:c r="D5" s="40" t="n">
        <x:f>'行程比較'!F3</x:f>
        <x:v>43900</x:v>
      </x:c>
      <x:c r="E5" s="38" t="n">
        <x:f>'行程比較'!N3</x:f>
        <x:v>80</x:v>
      </x:c>
      <x:c r="F5" s="41" t="str">
        <x:f>"自由"&amp;'行程比較'!I3&amp;"日／自理"&amp;'行程比較'!J3&amp;"餐"</x:f>
        <x:v>自由0日／自理1餐</x:v>
      </x:c>
      <x:c r="G5" s="41" t="str">
        <x:f>"免稅"&amp;'行程比較'!K3&amp;"／商場"&amp;'行程比較'!L3&amp;"／見學"&amp;'行程比較'!M3</x:f>
        <x:v>免稅1／商場1／見學0</x:v>
      </x:c>
      <x:c r="H5" s="41" t="str">
        <x:f>'行程比較'!Q3</x:f>
        <x:v>內容完整，但比旅遊家貴8,000元</x:v>
      </x:c>
    </x:row>
    <x:row r="6" ht="52" customHeight="1">
      <x:c r="A6" s="38" t="n">
        <x:v>2</x:v>
      </x:c>
      <x:c r="B6" s="38" t="str">
        <x:f>'行程比較'!C4</x:f>
        <x:v>山富旅遊</x:v>
      </x:c>
      <x:c r="C6" s="39" t="str">
        <x:f>'行程比較'!E4</x:f>
        <x:v>超值好運北九州鐵道5日：海景電車、賞豚、高千穗、熊本熊電鐵</x:v>
      </x:c>
      <x:c r="D6" s="40" t="n">
        <x:f>'行程比較'!F4</x:f>
        <x:v>36900</x:v>
      </x:c>
      <x:c r="E6" s="38" t="n">
        <x:f>'行程比較'!N4</x:f>
        <x:v>72</x:v>
      </x:c>
      <x:c r="F6" s="41" t="str">
        <x:f>"自由"&amp;'行程比較'!I4&amp;"日／自理"&amp;'行程比較'!J4&amp;"餐"</x:f>
        <x:v>自由0日／自理1餐</x:v>
      </x:c>
      <x:c r="G6" s="41" t="str">
        <x:f>"免稅"&amp;'行程比較'!K4&amp;"／商場"&amp;'行程比較'!L4&amp;"／見學"&amp;'行程比較'!M4</x:f>
        <x:v>免稅1／商場2／見學1</x:v>
      </x:c>
      <x:c r="H6" s="41" t="str">
        <x:f>'行程比較'!Q4</x:f>
        <x:v>活動豐富，購物量中等</x:v>
      </x:c>
    </x:row>
    <x:row r="7" ht="52" customHeight="1">
      <x:c r="A7" s="38" t="n">
        <x:v>3</x:v>
      </x:c>
      <x:c r="B7" s="38" t="str">
        <x:f>'行程比較'!C5</x:f>
        <x:v>山富旅遊</x:v>
      </x:c>
      <x:c r="C7" s="39" t="str">
        <x:f>'行程比較'!E5</x:f>
        <x:v>超值全覽北九州宮崎5日：由布院、日南海岸、鵜戶神宮、青井阿蘇神社</x:v>
      </x:c>
      <x:c r="D7" s="40" t="n">
        <x:f>'行程比較'!F5</x:f>
        <x:v>36900</x:v>
      </x:c>
      <x:c r="E7" s="38" t="n">
        <x:f>'行程比較'!N5</x:f>
        <x:v>72</x:v>
      </x:c>
      <x:c r="F7" s="41" t="str">
        <x:f>"自由"&amp;'行程比較'!I5&amp;"日／自理"&amp;'行程比較'!J5&amp;"餐"</x:f>
        <x:v>自由0日／自理1餐</x:v>
      </x:c>
      <x:c r="G7" s="41" t="str">
        <x:f>"免稅"&amp;'行程比較'!K5&amp;"／商場"&amp;'行程比較'!L5&amp;"／見學"&amp;'行程比較'!M5</x:f>
        <x:v>免稅1／商場1／見學2</x:v>
      </x:c>
      <x:c r="H7" s="41" t="str">
        <x:f>'行程比較'!Q5</x:f>
        <x:v>無自由活動，購物略多</x:v>
      </x:c>
    </x:row>
    <x:row r="8" ht="52" customHeight="1">
      <x:c r="A8" s="38" t="n">
        <x:v>4</x:v>
      </x:c>
      <x:c r="B8" s="38" t="str">
        <x:f>'行程比較'!C2</x:f>
        <x:v>旅遊家旅行社</x:v>
      </x:c>
      <x:c r="C8" s="39" t="str">
        <x:f>'行程比較'!E2</x:f>
        <x:v>九州神話秘境5日：高千穗、南阿蘇鐵道、柳川、糸島、雙溫泉</x:v>
      </x:c>
      <x:c r="D8" s="40" t="n">
        <x:f>'行程比較'!F2</x:f>
        <x:v>35900</x:v>
      </x:c>
      <x:c r="E8" s="38" t="n">
        <x:f>'行程比較'!N2</x:f>
        <x:v>62.5</x:v>
      </x:c>
      <x:c r="F8" s="41" t="str">
        <x:f>"自由"&amp;'行程比較'!I2&amp;"日／自理"&amp;'行程比較'!J2&amp;"餐"</x:f>
        <x:v>自由0.5日／自理1餐</x:v>
      </x:c>
      <x:c r="G8" s="41" t="str">
        <x:f>"免稅"&amp;'行程比較'!K2&amp;"／商場"&amp;'行程比較'!L2&amp;"／見學"&amp;'行程比較'!M2</x:f>
        <x:v>免稅1／商場1／見學0</x:v>
      </x:c>
      <x:c r="H8" s="41" t="str">
        <x:f>'行程比較'!Q2</x:f>
        <x:v>特色餐與價格有優勢，但不再視為完全符合</x:v>
      </x:c>
    </x:row>
    <x:row r="9" ht="52" customHeight="1">
      <x:c r="A9" s="38" t="n">
        <x:v>5</x:v>
      </x:c>
      <x:c r="B9" s="38" t="str">
        <x:f>'行程比較'!C6</x:f>
        <x:v>燦星旅遊</x:v>
      </x:c>
      <x:c r="C9" s="39" t="str">
        <x:f>'行程比較'!E6</x:f>
        <x:v>九州星旅行5日：湯布院、高千穗、柳川、熊本城、特色小火車</x:v>
      </x:c>
      <x:c r="D9" s="40" t="n">
        <x:f>'行程比較'!F6</x:f>
        <x:v>45900</x:v>
      </x:c>
      <x:c r="E9" s="38" t="n">
        <x:f>'行程比較'!N6</x:f>
        <x:v>58.5</x:v>
      </x:c>
      <x:c r="F9" s="41" t="str">
        <x:f>"自由"&amp;'行程比較'!I6&amp;"日／自理"&amp;'行程比較'!J6&amp;"餐"</x:f>
        <x:v>自由0.5日／自理2餐</x:v>
      </x:c>
      <x:c r="G9" s="41" t="str">
        <x:f>"免稅"&amp;'行程比較'!K6&amp;"／商場"&amp;'行程比較'!L6&amp;"／見學"&amp;'行程比較'!M6</x:f>
        <x:v>免稅1／商場0／見學0</x:v>
      </x:c>
      <x:c r="H9" s="41" t="str">
        <x:f>'行程比較'!Q6</x:f>
        <x:v>價格最高且含半日自由</x:v>
      </x:c>
    </x:row>
    <x:row r="10" ht="52" customHeight="1">
      <x:c r="A10" s="38" t="n">
        <x:v>6</x:v>
      </x:c>
      <x:c r="B10" s="38" t="str">
        <x:f>'行程比較'!C7</x:f>
        <x:v>山富旅遊</x:v>
      </x:c>
      <x:c r="C10" s="39" t="str">
        <x:f>'行程比較'!E7</x:f>
        <x:v>超值特惠輕鬆玩北九州5日：酒造、由布院、黑川溫泉、熊本熊電鐵</x:v>
      </x:c>
      <x:c r="D10" s="40" t="n">
        <x:f>'行程比較'!F7</x:f>
        <x:v>34900</x:v>
      </x:c>
      <x:c r="E10" s="38" t="n">
        <x:f>'行程比較'!N7</x:f>
        <x:v>40</x:v>
      </x:c>
      <x:c r="F10" s="41" t="str">
        <x:f>"自由"&amp;'行程比較'!I7&amp;"日／自理"&amp;'行程比較'!J7&amp;"餐"</x:f>
        <x:v>自由0日／自理4餐</x:v>
      </x:c>
      <x:c r="G10" s="41" t="str">
        <x:f>"免稅"&amp;'行程比較'!K7&amp;"／商場"&amp;'行程比較'!L7&amp;"／見學"&amp;'行程比較'!M7</x:f>
        <x:v>免稅2／商場2／見學1</x:v>
      </x:c>
      <x:c r="H10" s="41" t="str">
        <x:f>'行程比較'!Q7</x:f>
        <x:v>便宜，但自理餐與購物都偏多</x:v>
      </x:c>
    </x:row>
    <x:row r="11">
      <x:c r="A11" s="42"/>
      <x:c r="B11" s="42"/>
      <x:c r="C11" s="42"/>
      <x:c r="D11" s="42"/>
      <x:c r="E11" s="42"/>
      <x:c r="F11" s="42"/>
      <x:c r="G11" s="42"/>
      <x:c r="H11" s="42"/>
    </x:row>
    <x:row r="12">
      <x:c r="A12" s="43" t="str">
        <x:v>結論</x:v>
      </x:c>
      <x:c r="B12" s="43" t="str">
        <x:v>最佳選擇</x:v>
      </x:c>
      <x:c r="C12" s="43" t="str">
        <x:v>售價差</x:v>
      </x:c>
      <x:c r="D12" s="43" t="str">
        <x:v>Safari團</x:v>
      </x:c>
      <x:c r="E12" s="43" t="str">
        <x:v>排除項目</x:v>
      </x:c>
      <x:c r="F12" s="43" t="str">
        <x:v>航班</x:v>
      </x:c>
      <x:c r="G12" s="43" t="str">
        <x:v>查價日</x:v>
      </x:c>
      <x:c r="H12" s="43" t="str">
        <x:v>完整性</x:v>
      </x:c>
    </x:row>
    <x:row r="13">
      <x:c r="A13" s="42" t="str">
        <x:v>快速判斷</x:v>
      </x:c>
      <x:c r="B13" s="42" t="str">
        <x:v>華府Safari CIKKJ260925C</x:v>
      </x:c>
      <x:c r="C13" s="42" t="str">
        <x:v>比旅遊家高8,000</x:v>
      </x:c>
      <x:c r="D13" s="42" t="str">
        <x:v>動物園非機械遊樂園</x:v>
      </x:c>
      <x:c r="E13" s="42" t="str">
        <x:v>豪斯登堡／FIT自由行</x:v>
      </x:c>
      <x:c r="F13" s="42" t="str">
        <x:v>CI7380／CI7381</x:v>
      </x:c>
      <x:c r="G13" s="42" t="str">
        <x:v>2026-07-13</x:v>
      </x:c>
      <x:c r="H13" s="42" t="str">
        <x:v>公開可檢索範圍</x:v>
      </x:c>
    </x:row>
    <x:row r="14">
      <x:c r="A14" s="42"/>
      <x:c r="B14" s="42"/>
      <x:c r="C14" s="42"/>
      <x:c r="D14" s="42"/>
      <x:c r="E14" s="42"/>
      <x:c r="F14" s="42"/>
      <x:c r="G14" s="42"/>
      <x:c r="H14" s="42"/>
    </x:row>
    <x:row r="15" ht="44" customHeight="1">
      <x:c r="A15" s="44" t="str">
        <x:v>為什麼首選</x:v>
      </x:c>
      <x:c r="B15" s="41" t="str">
        <x:v>華府Safari團沒有自由活動、只有1餐自理，購物集中同一天；若連自然動物園也不要，改選山富鐵道或宮崎團。</x:v>
      </x:c>
      <x:c r="C15" s="41"/>
      <x:c r="D15" s="41"/>
      <x:c r="E15" s="41"/>
      <x:c r="F15" s="41"/>
      <x:c r="G15" s="41"/>
      <x:c r="H15" s="41"/>
    </x:row>
    <x:row r="16" ht="44" customHeight="1">
      <x:c r="A16" s="44" t="str">
        <x:v>重要修正</x:v>
      </x:c>
      <x:c r="B16" s="41" t="str">
        <x:v>旅遊家第5天公開頁面載有福岡半日自由活動，且午餐說明與餐表矛盾，因此降為普通並建議書面確認。</x:v>
      </x:c>
      <x:c r="C16" s="41"/>
      <x:c r="D16" s="41"/>
      <x:c r="E16" s="41"/>
      <x:c r="F16" s="41"/>
      <x:c r="G16" s="41"/>
      <x:c r="H16" s="41"/>
    </x:row>
    <x:row r="17" ht="44" customHeight="1">
      <x:c r="A17" s="45" t="str">
        <x:v>未列入排名</x:v>
      </x:c>
      <x:c r="B17" s="46" t="str">
        <x:v>雄獅可找到9/04同系列商品，但未找到可核實的9/25專屬團號與售價，因此不混入已確認9/25清單。</x:v>
      </x:c>
      <x:c r="C17" s="46"/>
      <x:c r="D17" s="46"/>
      <x:c r="E17" s="46"/>
      <x:c r="F17" s="46"/>
      <x:c r="G17" s="46"/>
      <x:c r="H17" s="46"/>
    </x:row>
  </x:sheetData>
  <x:mergeCells>
    <x:mergeCell ref="A1:H2"/>
    <x:mergeCell ref="B15:H15"/>
    <x:mergeCell ref="B16:H16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7" hidden="0" customWidth="1"/>
    <x:col min="4" max="4" width="18" hidden="0" customWidth="1"/>
    <x:col min="5" max="5" width="50" hidden="0" customWidth="1"/>
    <x:col min="6" max="6" width="13" hidden="0" customWidth="1"/>
    <x:col min="7" max="7" width="13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45" hidden="0" customWidth="1"/>
    <x:col min="16" max="16" width="54" hidden="0" customWidth="1"/>
    <x:col min="17" max="17" width="34" hidden="0" customWidth="1"/>
  </x:cols>
  <x:sheetData>
    <x:row r="1">
      <x:c r="A1" s="47" t="str">
        <x:v>ID</x:v>
      </x:c>
      <x:c r="B1" s="47" t="str">
        <x:v>建議</x:v>
      </x:c>
      <x:c r="C1" s="47" t="str">
        <x:v>旅行社</x:v>
      </x:c>
      <x:c r="D1" s="47" t="str">
        <x:v>產品碼</x:v>
      </x:c>
      <x:c r="E1" s="47" t="str">
        <x:v>行程名稱</x:v>
      </x:c>
      <x:c r="F1" s="47" t="str">
        <x:v>9/25售價</x:v>
      </x:c>
      <x:c r="G1" s="47" t="str">
        <x:v>可售席次</x:v>
      </x:c>
      <x:c r="H1" s="47" t="str">
        <x:v>遊樂園</x:v>
      </x:c>
      <x:c r="I1" s="47" t="str">
        <x:v>自由日</x:v>
      </x:c>
      <x:c r="J1" s="47" t="str">
        <x:v>自理餐</x:v>
      </x:c>
      <x:c r="K1" s="47" t="str">
        <x:v>免稅店</x:v>
      </x:c>
      <x:c r="L1" s="47" t="str">
        <x:v>購物站</x:v>
      </x:c>
      <x:c r="M1" s="47" t="str">
        <x:v>工廠見學</x:v>
      </x:c>
      <x:c r="N1" s="47" t="str">
        <x:v>偏好分數</x:v>
      </x:c>
      <x:c r="O1" s="47" t="str">
        <x:v>判讀</x:v>
      </x:c>
      <x:c r="P1" s="47" t="str">
        <x:v>來源網址</x:v>
      </x:c>
      <x:c r="Q1" s="47" t="str">
        <x:v>結論</x:v>
      </x:c>
    </x:row>
    <x:row r="2" ht="58" customHeight="1">
      <x:c r="A2" s="38" t="str">
        <x:v>T01</x:v>
      </x:c>
      <x:c r="B2" s="38" t="str">
        <x:v>普通</x:v>
      </x:c>
      <x:c r="C2" s="38" t="str">
        <x:v>旅遊家旅行社</x:v>
      </x:c>
      <x:c r="D2" s="38" t="str">
        <x:v>FUK05260925A</x:v>
      </x:c>
      <x:c r="E2" s="39" t="str">
        <x:v>九州神話秘境5日：高千穗、南阿蘇鐵道、柳川、糸島、雙溫泉</x:v>
      </x:c>
      <x:c r="F2" s="40" t="n">
        <x:v>35900</x:v>
      </x:c>
      <x:c r="G2" s="38" t="n">
        <x:v>25</x:v>
      </x:c>
      <x:c r="H2" s="38" t="n">
        <x:v>0</x:v>
      </x:c>
      <x:c r="I2" s="38" t="n">
        <x:v>0.5</x:v>
      </x:c>
      <x:c r="J2" s="38" t="n">
        <x:v>1</x:v>
      </x:c>
      <x:c r="K2" s="38" t="n">
        <x:v>1</x:v>
      </x:c>
      <x:c r="L2" s="38" t="n">
        <x:v>1</x:v>
      </x:c>
      <x:c r="M2" s="38" t="n">
        <x:v>0</x:v>
      </x:c>
      <x:c r="N2" s="38" t="n">
        <x:f>IF(H2&gt;0,0,MAX(0,'評分規則'!$B$2-I2*'評分規則'!$B$3-J2*'評分規則'!$B$4-K2*'評分規則'!$B$5-L2*'評分規則'!$B$6-M2*'評分規則'!$B$7))</x:f>
        <x:v>62.5</x:v>
      </x:c>
      <x:c r="O2" s="41" t="str">
        <x:v>第5天公開頁面載有福岡半日自由活動；第5天午餐說明與餐表互相矛盾，報名前需書面確認。</x:v>
      </x:c>
      <x:c r="P2" s="41" t="str">
        <x:v>https://b2b.travelerts.com.tw/EW/GO/GroupDetail.asp?prodCd=FUK05260925A</x:v>
      </x:c>
      <x:c r="Q2" s="41" t="str">
        <x:v>特色餐與價格有優勢，但不再視為完全符合</x:v>
      </x:c>
    </x:row>
    <x:row r="3" ht="58" customHeight="1">
      <x:c r="A3" s="38" t="str">
        <x:v>T02</x:v>
      </x:c>
      <x:c r="B3" s="38" t="str">
        <x:v>首選</x:v>
      </x:c>
      <x:c r="C3" s="38" t="str">
        <x:v>華府旅行社</x:v>
      </x:c>
      <x:c r="D3" s="38" t="str">
        <x:v>CIKKJ260925C</x:v>
      </x:c>
      <x:c r="E3" s="39" t="str">
        <x:v>北九州山口5日：Safari Land、秋芳洞、琉璃光寺、元乃隅神社、角島</x:v>
      </x:c>
      <x:c r="F3" s="40" t="n">
        <x:v>43900</x:v>
      </x:c>
      <x:c r="G3" s="38"/>
      <x:c r="H3" s="38" t="n">
        <x:v>0</x:v>
      </x:c>
      <x:c r="I3" s="38" t="n">
        <x:v>0</x:v>
      </x:c>
      <x:c r="J3" s="38" t="n">
        <x:v>1</x:v>
      </x:c>
      <x:c r="K3" s="38" t="n">
        <x:v>1</x:v>
      </x:c>
      <x:c r="L3" s="38" t="n">
        <x:v>1</x:v>
      </x:c>
      <x:c r="M3" s="38" t="n">
        <x:v>0</x:v>
      </x:c>
      <x:c r="N3" s="38" t="n">
        <x:f>IF(H3&gt;0,0,MAX(0,'評分規則'!$B$2-I3*'評分規則'!$B$3-J3*'評分規則'!$B$4-K3*'評分規則'!$B$5-L3*'評分規則'!$B$6-M3*'評分規則'!$B$7))</x:f>
        <x:v>80</x:v>
      </x:c>
      <x:c r="O3" s="41" t="str">
        <x:v>Safari Land是自然動物園，不是機械遊樂園；唐戶市場午餐自理，另有免稅店與LaLaport。</x:v>
      </x:c>
      <x:c r="P3" s="41" t="str">
        <x:v>https://www.go100tour.com/products/group/detail/CIKKJ260925C</x:v>
      </x:c>
      <x:c r="Q3" s="41" t="str">
        <x:v>內容完整，但比旅遊家貴8,000元</x:v>
      </x:c>
    </x:row>
    <x:row r="4" ht="58" customHeight="1">
      <x:c r="A4" s="38" t="str">
        <x:v>T03</x:v>
      </x:c>
      <x:c r="B4" s="38" t="str">
        <x:v>推薦</x:v>
      </x:c>
      <x:c r="C4" s="38" t="str">
        <x:v>山富旅遊</x:v>
      </x:c>
      <x:c r="D4" s="38" t="str">
        <x:v>FUK05KJ29</x:v>
      </x:c>
      <x:c r="E4" s="39" t="str">
        <x:v>超值好運北九州鐵道5日：海景電車、賞豚、高千穗、熊本熊電鐵</x:v>
      </x:c>
      <x:c r="F4" s="40" t="n">
        <x:v>36900</x:v>
      </x:c>
      <x:c r="G4" s="38" t="n">
        <x:v>21</x:v>
      </x:c>
      <x:c r="H4" s="38" t="n">
        <x:v>0</x:v>
      </x:c>
      <x:c r="I4" s="38" t="n">
        <x:v>0</x:v>
      </x:c>
      <x:c r="J4" s="38" t="n">
        <x:v>1</x:v>
      </x:c>
      <x:c r="K4" s="38" t="n">
        <x:v>1</x:v>
      </x:c>
      <x:c r="L4" s="38" t="n">
        <x:v>2</x:v>
      </x:c>
      <x:c r="M4" s="38" t="n">
        <x:v>1</x:v>
      </x:c>
      <x:c r="N4" s="38" t="n">
        <x:f>IF(H4&gt;0,0,MAX(0,'評分規則'!$B$2-I4*'評分規則'!$B$3-J4*'評分規則'!$B$4-K4*'評分規則'!$B$5-L4*'評分規則'!$B$6-M4*'評分規則'!$B$7))</x:f>
        <x:v>72</x:v>
      </x:c>
      <x:c r="O4" s="41" t="str">
        <x:v>回程日午餐自理；另含茶村、L'isola Terrace、免稅店與LaLaport，購物比前兩名多。</x:v>
      </x:c>
      <x:c r="P4" s="41" t="str">
        <x:v>https://www.travel4u.com.tw/group/itinerary/FUK05KJ29/</x:v>
      </x:c>
      <x:c r="Q4" s="41" t="str">
        <x:v>活動豐富，購物量中等</x:v>
      </x:c>
    </x:row>
    <x:row r="5" ht="58" customHeight="1">
      <x:c r="A5" s="38" t="str">
        <x:v>T04</x:v>
      </x:c>
      <x:c r="B5" s="38" t="str">
        <x:v>推薦</x:v>
      </x:c>
      <x:c r="C5" s="38" t="str">
        <x:v>山富旅遊</x:v>
      </x:c>
      <x:c r="D5" s="38" t="str">
        <x:v>FUK05KJ30</x:v>
      </x:c>
      <x:c r="E5" s="39" t="str">
        <x:v>超值全覽北九州宮崎5日：由布院、日南海岸、鵜戶神宮、青井阿蘇神社</x:v>
      </x:c>
      <x:c r="F5" s="40" t="n">
        <x:v>36900</x:v>
      </x:c>
      <x:c r="G5" s="38" t="n">
        <x:v>23</x:v>
      </x:c>
      <x:c r="H5" s="38" t="n">
        <x:v>0</x:v>
      </x:c>
      <x:c r="I5" s="38" t="n">
        <x:v>0</x:v>
      </x:c>
      <x:c r="J5" s="38" t="n">
        <x:v>1</x:v>
      </x:c>
      <x:c r="K5" s="38" t="n">
        <x:v>1</x:v>
      </x:c>
      <x:c r="L5" s="38" t="n">
        <x:v>1</x:v>
      </x:c>
      <x:c r="M5" s="38" t="n">
        <x:v>2</x:v>
      </x:c>
      <x:c r="N5" s="38" t="n">
        <x:f>IF(H5&gt;0,0,MAX(0,'評分規則'!$B$2-I5*'評分規則'!$B$3-J5*'評分規則'!$B$4-K5*'評分規則'!$B$5-L5*'評分規則'!$B$6-M5*'評分規則'!$B$7))</x:f>
        <x:v>72</x:v>
      </x:c>
      <x:c r="O5" s="41" t="str">
        <x:v>回程日午餐自理；黑醋工廠、酒造、免稅店與LaLaport，商品型見學較多。</x:v>
      </x:c>
      <x:c r="P5" s="41" t="str">
        <x:v>https://www.travel4u.com.tw/group/itinerary/FUK05KJ30/</x:v>
      </x:c>
      <x:c r="Q5" s="41" t="str">
        <x:v>無自由活動，購物略多</x:v>
      </x:c>
    </x:row>
    <x:row r="6" ht="58" customHeight="1">
      <x:c r="A6" s="38" t="str">
        <x:v>T05</x:v>
      </x:c>
      <x:c r="B6" s="38" t="str">
        <x:v>普通</x:v>
      </x:c>
      <x:c r="C6" s="38" t="str">
        <x:v>燦星旅遊</x:v>
      </x:c>
      <x:c r="D6" s="38" t="str">
        <x:v>KKJ05CI01</x:v>
      </x:c>
      <x:c r="E6" s="39" t="str">
        <x:v>九州星旅行5日：湯布院、高千穗、柳川、熊本城、特色小火車</x:v>
      </x:c>
      <x:c r="F6" s="40" t="n">
        <x:v>45900</x:v>
      </x:c>
      <x:c r="G6" s="38" t="n">
        <x:v>7</x:v>
      </x:c>
      <x:c r="H6" s="38" t="n">
        <x:v>0</x:v>
      </x:c>
      <x:c r="I6" s="38" t="n">
        <x:v>0.5</x:v>
      </x:c>
      <x:c r="J6" s="38" t="n">
        <x:v>2</x:v>
      </x:c>
      <x:c r="K6" s="38" t="n">
        <x:v>1</x:v>
      </x:c>
      <x:c r="L6" s="38" t="n">
        <x:v>0</x:v>
      </x:c>
      <x:c r="M6" s="38" t="n">
        <x:v>0</x:v>
      </x:c>
      <x:c r="N6" s="38" t="n">
        <x:f>IF(H6&gt;0,0,MAX(0,'評分規則'!$B$2-I6*'評分規則'!$B$3-J6*'評分規則'!$B$4-K6*'評分規則'!$B$5-L6*'評分規則'!$B$6-M6*'評分規則'!$B$7))</x:f>
        <x:v>58.5</x:v>
      </x:c>
      <x:c r="O6" s="41" t="str">
        <x:v>第4天晚餐、第5天午餐自理；回程日前半天為福岡自由活動。</x:v>
      </x:c>
      <x:c r="P6" s="41" t="str">
        <x:v>https://tour.startravel.com.tw/itin/00001-KKJ05CI01/KKJ05261009A</x:v>
      </x:c>
      <x:c r="Q6" s="41" t="str">
        <x:v>價格最高且含半日自由</x:v>
      </x:c>
    </x:row>
    <x:row r="7" ht="58" customHeight="1">
      <x:c r="A7" s="38" t="str">
        <x:v>T06</x:v>
      </x:c>
      <x:c r="B7" s="38" t="str">
        <x:v>不建議</x:v>
      </x:c>
      <x:c r="C7" s="38" t="str">
        <x:v>山富旅遊</x:v>
      </x:c>
      <x:c r="D7" s="38" t="str">
        <x:v>FUK05KJ28</x:v>
      </x:c>
      <x:c r="E7" s="39" t="str">
        <x:v>超值特惠輕鬆玩北九州5日：酒造、由布院、黑川溫泉、熊本熊電鐵</x:v>
      </x:c>
      <x:c r="F7" s="40" t="n">
        <x:v>34900</x:v>
      </x:c>
      <x:c r="G7" s="38" t="n">
        <x:v>23</x:v>
      </x:c>
      <x:c r="H7" s="38" t="n">
        <x:v>0</x:v>
      </x:c>
      <x:c r="I7" s="38" t="n">
        <x:v>0</x:v>
      </x:c>
      <x:c r="J7" s="38" t="n">
        <x:v>4</x:v>
      </x:c>
      <x:c r="K7" s="38" t="n">
        <x:v>2</x:v>
      </x:c>
      <x:c r="L7" s="38" t="n">
        <x:v>2</x:v>
      </x:c>
      <x:c r="M7" s="38" t="n">
        <x:v>1</x:v>
      </x:c>
      <x:c r="N7" s="38" t="n">
        <x:f>IF(H7&gt;0,0,MAX(0,'評分規則'!$B$2-I7*'評分規則'!$B$3-J7*'評分規則'!$B$4-K7*'評分規則'!$B$5-L7*'評分規則'!$B$6-M7*'評分規則'!$B$7))</x:f>
        <x:v>40</x:v>
      </x:c>
      <x:c r="O7" s="41" t="str">
        <x:v>第3天晚餐、第4天午晚餐、第5天午餐自理；連兩天免稅店，另有商場。</x:v>
      </x:c>
      <x:c r="P7" s="41" t="str">
        <x:v>https://www.travel4u.com.tw/group/itinerary/FUK05KJ28/</x:v>
      </x:c>
      <x:c r="Q7" s="41" t="str">
        <x:v>便宜，但自理餐與購物都偏多</x:v>
      </x:c>
    </x:row>
    <x:row r="8" ht="58" customHeight="1">
      <x:c r="A8" s="38" t="str">
        <x:v>T07</x:v>
      </x:c>
      <x:c r="B8" s="38" t="str">
        <x:v>不建議</x:v>
      </x:c>
      <x:c r="C8" s="38" t="str">
        <x:v>華府／中天</x:v>
      </x:c>
      <x:c r="D8" s="38" t="str">
        <x:v>CIKKJ5D01</x:v>
      </x:c>
      <x:c r="E8" s="39" t="str">
        <x:v>北九州小資輕旅行5日：門司港、唐戶市場、湯布院、柳川、一日自由</x:v>
      </x:c>
      <x:c r="F8" s="40" t="n">
        <x:v>36900</x:v>
      </x:c>
      <x:c r="G8" s="38" t="n">
        <x:v>27</x:v>
      </x:c>
      <x:c r="H8" s="38" t="n">
        <x:v>0</x:v>
      </x:c>
      <x:c r="I8" s="38" t="n">
        <x:v>1</x:v>
      </x:c>
      <x:c r="J8" s="38" t="n">
        <x:v>4</x:v>
      </x:c>
      <x:c r="K8" s="38" t="n">
        <x:v>1</x:v>
      </x:c>
      <x:c r="L8" s="38" t="n">
        <x:v>1</x:v>
      </x:c>
      <x:c r="M8" s="38" t="n">
        <x:v>0</x:v>
      </x:c>
      <x:c r="N8" s="38" t="n">
        <x:f>IF(H8&gt;0,0,MAX(0,'評分規則'!$B$2-I8*'評分規則'!$B$3-J8*'評分規則'!$B$4-K8*'評分規則'!$B$5-L8*'評分規則'!$B$6-M8*'評分規則'!$B$7))</x:f>
        <x:v>21</x:v>
      </x:c>
      <x:c r="O8" s="41" t="str">
        <x:v>第4天整日自由活動，共4餐自理；末日另有免稅店與LaLaport。</x:v>
      </x:c>
      <x:c r="P8" s="41" t="str">
        <x:v>https://www.chinasky.com.tw/group_detail.asp?seq=11084</x:v>
      </x:c>
      <x:c r="Q8" s="41" t="str">
        <x:v>與偏好明顯衝突</x:v>
      </x:c>
    </x:row>
    <x:row r="9" ht="58" customHeight="1">
      <x:c r="A9" s="38" t="str">
        <x:v>T08</x:v>
      </x:c>
      <x:c r="B9" s="38" t="str">
        <x:v>排除</x:v>
      </x:c>
      <x:c r="C9" s="38" t="str">
        <x:v>華府／中天</x:v>
      </x:c>
      <x:c r="D9" s="38" t="str">
        <x:v>CIKKJ5D02</x:v>
      </x:c>
      <x:c r="E9" s="39" t="str">
        <x:v>五星北九州豪斯登堡5日：豪斯登堡一日、柳川、豆田町、湯布院</x:v>
      </x:c>
      <x:c r="F9" s="40" t="n">
        <x:v>43900</x:v>
      </x:c>
      <x:c r="G9" s="38" t="n">
        <x:v>32</x:v>
      </x:c>
      <x:c r="H9" s="38" t="n">
        <x:v>1</x:v>
      </x:c>
      <x:c r="I9" s="38" t="n">
        <x:v>0</x:v>
      </x:c>
      <x:c r="J9" s="38" t="n">
        <x:v>2</x:v>
      </x:c>
      <x:c r="K9" s="38" t="n">
        <x:v>0</x:v>
      </x:c>
      <x:c r="L9" s="38" t="n">
        <x:v>1</x:v>
      </x:c>
      <x:c r="M9" s="38" t="n">
        <x:v>0</x:v>
      </x:c>
      <x:c r="N9" s="38" t="n">
        <x:f>IF(H9&gt;0,0,MAX(0,'評分規則'!$B$2-I9*'評分規則'!$B$3-J9*'評分規則'!$B$4-K9*'評分規則'!$B$5-L9*'評分規則'!$B$6-M9*'評分規則'!$B$7))</x:f>
        <x:v>0</x:v>
      </x:c>
      <x:c r="O9" s="41" t="str">
        <x:v>第2天整日豪斯登堡主題樂園，直接違反不要遊樂園。</x:v>
      </x:c>
      <x:c r="P9" s="41" t="str">
        <x:v>https://www.chinasky.com.tw/group_detail.asp?seq=11080</x:v>
      </x:c>
      <x:c r="Q9" s="41" t="str">
        <x:v>硬性排除</x:v>
      </x:c>
    </x:row>
    <x:row r="10" ht="58" customHeight="1">
      <x:c r="A10" s="48" t="str">
        <x:v>T09</x:v>
      </x:c>
      <x:c r="B10" s="48" t="str">
        <x:v>排除</x:v>
      </x:c>
      <x:c r="C10" s="48" t="str">
        <x:v>中天旅行社</x:v>
      </x:c>
      <x:c r="D10" s="48" t="str">
        <x:v>FIT-KKJ5</x:v>
      </x:c>
      <x:c r="E10" s="49" t="str">
        <x:v>福岡機加酒自由行5日：福岡住宿4晚、不含早餐</x:v>
      </x:c>
      <x:c r="F10" s="50" t="n">
        <x:v>30900</x:v>
      </x:c>
      <x:c r="G10" s="48" t="n">
        <x:v>10</x:v>
      </x:c>
      <x:c r="H10" s="48" t="n">
        <x:v>0</x:v>
      </x:c>
      <x:c r="I10" s="48" t="n">
        <x:v>3</x:v>
      </x:c>
      <x:c r="J10" s="48" t="n">
        <x:v>11</x:v>
      </x:c>
      <x:c r="K10" s="48" t="n">
        <x:v>0</x:v>
      </x:c>
      <x:c r="L10" s="48" t="n">
        <x:v>0</x:v>
      </x:c>
      <x:c r="M10" s="48" t="n">
        <x:v>0</x:v>
      </x:c>
      <x:c r="N10" s="48" t="n">
        <x:f>IF(H10&gt;0,0,MAX(0,'評分規則'!$B$2-I10*'評分規則'!$B$3-J10*'評分規則'!$B$4-K10*'評分規則'!$B$5-L10*'評分規則'!$B$6-M10*'評分規則'!$B$7))</x:f>
        <x:v>0</x:v>
      </x:c>
      <x:c r="O10" s="46" t="str">
        <x:v>幾乎全程自由活動，飯店4晚不含早餐，多數餐食自理。</x:v>
      </x:c>
      <x:c r="P10" s="46" t="str">
        <x:v>https://www.mta.com.tw/group_detail.asp?seq=11088</x:v>
      </x:c>
      <x:c r="Q10" s="46" t="str">
        <x:v>硬性不符</x:v>
      </x:c>
    </x:row>
  </x:sheetData>
  <x:conditionalFormatting sqref="B2:B10">
    <x:cfRule type="containsText" dxfId="0" priority="1" operator="containsText" text="首選"/>
    <x:cfRule type="containsText" dxfId="1" priority="2" operator="containsText" text="排除"/>
  </x:conditionalFormatting>
  <x:conditionalFormatting sqref="N2:N10">
    <x:cfRule type="colorScale" priority="3">
      <x:colorScale>
        <x:cfvo type="min"/>
        <x:cfvo type="percentile" val="50"/>
        <x:cfvo type="max"/>
        <x:color rgb="FFF97066"/>
        <x:color rgb="FFFEDF89"/>
        <x:color rgb="FF32D58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dda80f10e3f4c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61" hidden="0" customWidth="1"/>
    <x:col min="4" max="4" width="19" hidden="0" customWidth="1"/>
    <x:col min="5" max="5" width="19" hidden="0" customWidth="1"/>
    <x:col min="6" max="6" width="19" hidden="0" customWidth="1"/>
    <x:col min="7" max="7" width="28" hidden="0" customWidth="1"/>
    <x:col min="8" max="8" width="55" hidden="0" customWidth="1"/>
  </x:cols>
  <x:sheetData>
    <x:row r="1">
      <x:c r="A1" s="51" t="str">
        <x:v>ID</x:v>
      </x:c>
      <x:c r="B1" s="51" t="str">
        <x:v>日次</x:v>
      </x:c>
      <x:c r="C1" s="51" t="str">
        <x:v>每日路線</x:v>
      </x:c>
      <x:c r="D1" s="51" t="str">
        <x:v>早餐</x:v>
      </x:c>
      <x:c r="E1" s="51" t="str">
        <x:v>午餐</x:v>
      </x:c>
      <x:c r="F1" s="51" t="str">
        <x:v>晚餐</x:v>
      </x:c>
      <x:c r="G1" s="51" t="str">
        <x:v>自由／購物／自理註記</x:v>
      </x:c>
      <x:c r="H1" s="51" t="str">
        <x:v>來源</x:v>
      </x:c>
    </x:row>
    <x:row r="2" ht="46" customHeight="1">
      <x:c r="A2" s="38" t="str">
        <x:v>T01</x:v>
      </x:c>
      <x:c r="B2" s="38" t="n">
        <x:v>1</x:v>
      </x:c>
      <x:c r="C2" s="41" t="str">
        <x:v>台中→北九州</x:v>
      </x:c>
      <x:c r="D2" s="42" t="str">
        <x:v>家中</x:v>
      </x:c>
      <x:c r="E2" s="42" t="str">
        <x:v>家中</x:v>
      </x:c>
      <x:c r="F2" s="42" t="str">
        <x:v>機上餐</x:v>
      </x:c>
      <x:c r="G2" s="41" t="str"/>
      <x:c r="H2" s="41" t="str">
        <x:v>https://b2b.travelerts.com.tw/EW/GO/GroupDetail.asp?prodCd=FUK05260925A</x:v>
      </x:c>
    </x:row>
    <x:row r="3" ht="46" customHeight="1">
      <x:c r="A3" s="38" t="str">
        <x:v>T01</x:v>
      </x:c>
      <x:c r="B3" s="38" t="n">
        <x:v>2</x:v>
      </x:c>
      <x:c r="C3" s="41" t="str">
        <x:v>門司港→唐戶市場→湯布院→別府</x:v>
      </x:c>
      <x:c r="D3" s="42" t="str">
        <x:v>飯店</x:v>
      </x:c>
      <x:c r="E3" s="42" t="str">
        <x:v>河豚料理</x:v>
      </x:c>
      <x:c r="F3" s="42" t="str">
        <x:v>飯店自助餐</x:v>
      </x:c>
      <x:c r="G3" s="41" t="str"/>
      <x:c r="H3" s="41" t="str">
        <x:v>https://b2b.travelerts.com.tw/EW/GO/GroupDetail.asp?prodCd=FUK05260925A</x:v>
      </x:c>
    </x:row>
    <x:row r="4" ht="46" customHeight="1">
      <x:c r="A4" s="38" t="str">
        <x:v>T01</x:v>
      </x:c>
      <x:c r="B4" s="38" t="n">
        <x:v>3</x:v>
      </x:c>
      <x:c r="C4" s="41" t="str">
        <x:v>高千穗峽→天岩戶神社→南阿蘇鐵道</x:v>
      </x:c>
      <x:c r="D4" s="42" t="str">
        <x:v>飯店</x:v>
      </x:c>
      <x:c r="E4" s="42" t="str">
        <x:v>鄉土料理</x:v>
      </x:c>
      <x:c r="F4" s="42" t="str">
        <x:v>螃蟹吃到飽</x:v>
      </x:c>
      <x:c r="G4" s="41" t="str"/>
      <x:c r="H4" s="41" t="str">
        <x:v>https://b2b.travelerts.com.tw/EW/GO/GroupDetail.asp?prodCd=FUK05260925A</x:v>
      </x:c>
    </x:row>
    <x:row r="5" ht="46" customHeight="1">
      <x:c r="A5" s="38" t="str">
        <x:v>T01</x:v>
      </x:c>
      <x:c r="B5" s="38" t="n">
        <x:v>4</x:v>
      </x:c>
      <x:c r="C5" s="41" t="str">
        <x:v>柳川遊船→太宰府→福岡塔→免稅店→LaLaport</x:v>
      </x:c>
      <x:c r="D5" s="42" t="str">
        <x:v>飯店</x:v>
      </x:c>
      <x:c r="E5" s="42" t="str">
        <x:v>水炊雞肉鍋</x:v>
      </x:c>
      <x:c r="F5" s="42" t="str">
        <x:v>自理</x:v>
      </x:c>
      <x:c r="G5" s="41" t="str">
        <x:v>購物2站</x:v>
      </x:c>
      <x:c r="H5" s="41" t="str">
        <x:v>https://b2b.travelerts.com.tw/EW/GO/GroupDetail.asp?prodCd=FUK05260925A</x:v>
      </x:c>
    </x:row>
    <x:row r="6" ht="46" customHeight="1">
      <x:c r="A6" s="38" t="str">
        <x:v>T01</x:v>
      </x:c>
      <x:c r="B6" s="38" t="n">
        <x:v>5</x:v>
      </x:c>
      <x:c r="C6" s="41" t="str">
        <x:v>福岡半日自由活動→糸島→一蘭之森→機場</x:v>
      </x:c>
      <x:c r="D6" s="42" t="str">
        <x:v>飯店</x:v>
      </x:c>
      <x:c r="E6" s="42" t="str">
        <x:v>頁面說明矛盾，需確認</x:v>
      </x:c>
      <x:c r="F6" s="42" t="str">
        <x:v>機上餐</x:v>
      </x:c>
      <x:c r="G6" s="41" t="str">
        <x:v>半日自由；午餐需確認</x:v>
      </x:c>
      <x:c r="H6" s="41" t="str">
        <x:v>https://b2b.travelerts.com.tw/EW/GO/GroupDetail.asp?prodCd=FUK05260925A</x:v>
      </x:c>
    </x:row>
    <x:row r="7" ht="46" customHeight="1">
      <x:c r="A7" s="38" t="str">
        <x:v>T02</x:v>
      </x:c>
      <x:c r="B7" s="38" t="n">
        <x:v>1</x:v>
      </x:c>
      <x:c r="C7" s="41" t="str">
        <x:v>台中→北九州</x:v>
      </x:c>
      <x:c r="D7" s="42" t="str">
        <x:v>無</x:v>
      </x:c>
      <x:c r="E7" s="42" t="str">
        <x:v>無</x:v>
      </x:c>
      <x:c r="F7" s="42" t="str">
        <x:v>機上餐</x:v>
      </x:c>
      <x:c r="G7" s="41" t="str"/>
      <x:c r="H7" s="41" t="str">
        <x:v>https://www.go100tour.com/products/group/detail/CIKKJ260925C</x:v>
      </x:c>
    </x:row>
    <x:row r="8" ht="46" customHeight="1">
      <x:c r="A8" s="38" t="str">
        <x:v>T02</x:v>
      </x:c>
      <x:c r="B8" s="38" t="n">
        <x:v>2</x:v>
      </x:c>
      <x:c r="C8" s="41" t="str">
        <x:v>門司港→赤間神宮→唐戶市場→湯田溫泉</x:v>
      </x:c>
      <x:c r="D8" s="42" t="str">
        <x:v>飯店</x:v>
      </x:c>
      <x:c r="E8" s="42" t="str">
        <x:v>自理</x:v>
      </x:c>
      <x:c r="F8" s="42" t="str">
        <x:v>飯店料理</x:v>
      </x:c>
      <x:c r="G8" s="41" t="str">
        <x:v>自理1餐</x:v>
      </x:c>
      <x:c r="H8" s="41" t="str">
        <x:v>https://www.go100tour.com/products/group/detail/CIKKJ260925C</x:v>
      </x:c>
    </x:row>
    <x:row r="9" ht="46" customHeight="1">
      <x:c r="A9" s="38" t="str">
        <x:v>T02</x:v>
      </x:c>
      <x:c r="B9" s="38" t="n">
        <x:v>3</x:v>
      </x:c>
      <x:c r="C9" s="41" t="str">
        <x:v>琉璃光寺→秋芳洞→Safari Land→雲林寺</x:v>
      </x:c>
      <x:c r="D9" s="42" t="str">
        <x:v>飯店</x:v>
      </x:c>
      <x:c r="E9" s="42" t="str">
        <x:v>蕎麥御膳</x:v>
      </x:c>
      <x:c r="F9" s="42" t="str">
        <x:v>飯店料理</x:v>
      </x:c>
      <x:c r="G9" s="41" t="str">
        <x:v>自然動物園</x:v>
      </x:c>
      <x:c r="H9" s="41" t="str">
        <x:v>https://www.go100tour.com/products/group/detail/CIKKJ260925C</x:v>
      </x:c>
    </x:row>
    <x:row r="10" ht="46" customHeight="1">
      <x:c r="A10" s="38" t="str">
        <x:v>T02</x:v>
      </x:c>
      <x:c r="B10" s="38" t="n">
        <x:v>4</x:v>
      </x:c>
      <x:c r="C10" s="41" t="str">
        <x:v>元乃隅神社→角島大橋→免稅店→LaLaport</x:v>
      </x:c>
      <x:c r="D10" s="42" t="str">
        <x:v>飯店</x:v>
      </x:c>
      <x:c r="E10" s="42" t="str">
        <x:v>河豚御膳</x:v>
      </x:c>
      <x:c r="F10" s="42" t="str">
        <x:v>涮涮鍋吃到飽</x:v>
      </x:c>
      <x:c r="G10" s="41" t="str">
        <x:v>購物2站</x:v>
      </x:c>
      <x:c r="H10" s="41" t="str">
        <x:v>https://www.go100tour.com/products/group/detail/CIKKJ260925C</x:v>
      </x:c>
    </x:row>
    <x:row r="11" ht="46" customHeight="1">
      <x:c r="A11" s="38" t="str">
        <x:v>T02</x:v>
      </x:c>
      <x:c r="B11" s="38" t="n">
        <x:v>5</x:v>
      </x:c>
      <x:c r="C11" s="41" t="str">
        <x:v>竈門神社→太宰府→機場</x:v>
      </x:c>
      <x:c r="D11" s="42" t="str">
        <x:v>飯店</x:v>
      </x:c>
      <x:c r="E11" s="42" t="str">
        <x:v>和牛陶板御膳</x:v>
      </x:c>
      <x:c r="F11" s="42" t="str">
        <x:v>機上餐</x:v>
      </x:c>
      <x:c r="G11" s="41" t="str"/>
      <x:c r="H11" s="41" t="str">
        <x:v>https://www.go100tour.com/products/group/detail/CIKKJ260925C</x:v>
      </x:c>
    </x:row>
    <x:row r="12" ht="46" customHeight="1">
      <x:c r="A12" s="38" t="str">
        <x:v>T03</x:v>
      </x:c>
      <x:c r="B12" s="38" t="n">
        <x:v>1</x:v>
      </x:c>
      <x:c r="C12" s="41" t="str">
        <x:v>台中→北九州</x:v>
      </x:c>
      <x:c r="D12" s="42" t="str">
        <x:v>家中</x:v>
      </x:c>
      <x:c r="E12" s="42" t="str">
        <x:v>家中</x:v>
      </x:c>
      <x:c r="F12" s="42" t="str">
        <x:v>機上餐</x:v>
      </x:c>
      <x:c r="G12" s="41" t="str"/>
      <x:c r="H12" s="41" t="str">
        <x:v>https://www.travel4u.com.tw/group/itinerary/FUK05KJ29/</x:v>
      </x:c>
    </x:row>
    <x:row r="13" ht="46" customHeight="1">
      <x:c r="A13" s="38" t="str">
        <x:v>T03</x:v>
      </x:c>
      <x:c r="B13" s="38" t="n">
        <x:v>2</x:v>
      </x:c>
      <x:c r="C13" s="41" t="str">
        <x:v>虹之松原→武雄圖書館／神社→嬉野茶村</x:v>
      </x:c>
      <x:c r="D13" s="42" t="str">
        <x:v>飯店</x:v>
      </x:c>
      <x:c r="E13" s="42" t="str">
        <x:v>佐賀鄉土御膳</x:v>
      </x:c>
      <x:c r="F13" s="42" t="str">
        <x:v>飯店料理</x:v>
      </x:c>
      <x:c r="G13" s="41" t="str">
        <x:v>茶村見學</x:v>
      </x:c>
      <x:c r="H13" s="41" t="str">
        <x:v>https://www.travel4u.com.tw/group/itinerary/FUK05KJ29/</x:v>
      </x:c>
    </x:row>
    <x:row r="14" ht="46" customHeight="1">
      <x:c r="A14" s="38" t="str">
        <x:v>T03</x:v>
      </x:c>
      <x:c r="B14" s="38" t="n">
        <x:v>3</x:v>
      </x:c>
      <x:c r="C14" s="41" t="str">
        <x:v>島原海景電車→天草賞豚→L'isola Terrace</x:v>
      </x:c>
      <x:c r="D14" s="42" t="str">
        <x:v>飯店</x:v>
      </x:c>
      <x:c r="E14" s="42" t="str">
        <x:v>日式料理</x:v>
      </x:c>
      <x:c r="F14" s="42" t="str">
        <x:v>飯店料理</x:v>
      </x:c>
      <x:c r="G14" s="41" t="str">
        <x:v>商場1</x:v>
      </x:c>
      <x:c r="H14" s="41" t="str">
        <x:v>https://www.travel4u.com.tw/group/itinerary/FUK05KJ29/</x:v>
      </x:c>
    </x:row>
    <x:row r="15" ht="46" customHeight="1">
      <x:c r="A15" s="38" t="str">
        <x:v>T03</x:v>
      </x:c>
      <x:c r="B15" s="38" t="n">
        <x:v>4</x:v>
      </x:c>
      <x:c r="C15" s="41" t="str">
        <x:v>高千穗峽→天岩戶→熊本熊電鐵</x:v>
      </x:c>
      <x:c r="D15" s="42" t="str">
        <x:v>飯店</x:v>
      </x:c>
      <x:c r="E15" s="42" t="str">
        <x:v>高千穗料理</x:v>
      </x:c>
      <x:c r="F15" s="42" t="str">
        <x:v>燒肉吃到飽</x:v>
      </x:c>
      <x:c r="G15" s="41" t="str"/>
      <x:c r="H15" s="41" t="str">
        <x:v>https://www.travel4u.com.tw/group/itinerary/FUK05KJ29/</x:v>
      </x:c>
    </x:row>
    <x:row r="16" ht="46" customHeight="1">
      <x:c r="A16" s="38" t="str">
        <x:v>T03</x:v>
      </x:c>
      <x:c r="B16" s="38" t="n">
        <x:v>5</x:v>
      </x:c>
      <x:c r="C16" s="41" t="str">
        <x:v>旅人列車→太宰府→免稅店→LaLaport→機場</x:v>
      </x:c>
      <x:c r="D16" s="42" t="str">
        <x:v>飯店</x:v>
      </x:c>
      <x:c r="E16" s="42" t="str">
        <x:v>自理</x:v>
      </x:c>
      <x:c r="F16" s="42" t="str">
        <x:v>機上餐</x:v>
      </x:c>
      <x:c r="G16" s="41" t="str">
        <x:v>購物2站</x:v>
      </x:c>
      <x:c r="H16" s="41" t="str">
        <x:v>https://www.travel4u.com.tw/group/itinerary/FUK05KJ29/</x:v>
      </x:c>
    </x:row>
    <x:row r="17" ht="46" customHeight="1">
      <x:c r="A17" s="38" t="str">
        <x:v>T04</x:v>
      </x:c>
      <x:c r="B17" s="38" t="n">
        <x:v>1</x:v>
      </x:c>
      <x:c r="C17" s="41" t="str">
        <x:v>台中→北九州</x:v>
      </x:c>
      <x:c r="D17" s="42" t="str">
        <x:v>家中</x:v>
      </x:c>
      <x:c r="E17" s="42" t="str">
        <x:v>家中</x:v>
      </x:c>
      <x:c r="F17" s="42" t="str">
        <x:v>機上餐</x:v>
      </x:c>
      <x:c r="G17" s="41" t="str"/>
      <x:c r="H17" s="41" t="str">
        <x:v>https://www.travel4u.com.tw/group/itinerary/FUK05KJ30/</x:v>
      </x:c>
    </x:row>
    <x:row r="18" ht="46" customHeight="1">
      <x:c r="A18" s="38" t="str">
        <x:v>T04</x:v>
      </x:c>
      <x:c r="B18" s="38" t="n">
        <x:v>2</x:v>
      </x:c>
      <x:c r="C18" s="41" t="str">
        <x:v>由布院→別府纜車</x:v>
      </x:c>
      <x:c r="D18" s="42" t="str">
        <x:v>飯店</x:v>
      </x:c>
      <x:c r="E18" s="42" t="str">
        <x:v>佐賀鄉土御膳</x:v>
      </x:c>
      <x:c r="F18" s="42" t="str">
        <x:v>飯店料理</x:v>
      </x:c>
      <x:c r="G18" s="41" t="str"/>
      <x:c r="H18" s="41" t="str">
        <x:v>https://www.travel4u.com.tw/group/itinerary/FUK05KJ30/</x:v>
      </x:c>
    </x:row>
    <x:row r="19" ht="46" customHeight="1">
      <x:c r="A19" s="38" t="str">
        <x:v>T04</x:v>
      </x:c>
      <x:c r="B19" s="38" t="n">
        <x:v>3</x:v>
      </x:c>
      <x:c r="C19" s="41" t="str">
        <x:v>日向岬→日南太陽花園→鵜戶神宮</x:v>
      </x:c>
      <x:c r="D19" s="42" t="str">
        <x:v>飯店</x:v>
      </x:c>
      <x:c r="E19" s="42" t="str">
        <x:v>日式料理</x:v>
      </x:c>
      <x:c r="F19" s="42" t="str">
        <x:v>飯店料理</x:v>
      </x:c>
      <x:c r="G19" s="41" t="str"/>
      <x:c r="H19" s="41" t="str">
        <x:v>https://www.travel4u.com.tw/group/itinerary/FUK05KJ30/</x:v>
      </x:c>
    </x:row>
    <x:row r="20" ht="46" customHeight="1">
      <x:c r="A20" s="38" t="str">
        <x:v>T04</x:v>
      </x:c>
      <x:c r="B20" s="38" t="n">
        <x:v>4</x:v>
      </x:c>
      <x:c r="C20" s="41" t="str">
        <x:v>黑醋工廠→青井阿蘇神社→酒造→熊本熊港</x:v>
      </x:c>
      <x:c r="D20" s="42" t="str">
        <x:v>飯店</x:v>
      </x:c>
      <x:c r="E20" s="42" t="str">
        <x:v>南九州料理</x:v>
      </x:c>
      <x:c r="F20" s="42" t="str">
        <x:v>燒肉吃到飽</x:v>
      </x:c>
      <x:c r="G20" s="41" t="str">
        <x:v>工廠2</x:v>
      </x:c>
      <x:c r="H20" s="41" t="str">
        <x:v>https://www.travel4u.com.tw/group/itinerary/FUK05KJ30/</x:v>
      </x:c>
    </x:row>
    <x:row r="21" ht="46" customHeight="1">
      <x:c r="A21" s="38" t="str">
        <x:v>T04</x:v>
      </x:c>
      <x:c r="B21" s="38" t="n">
        <x:v>5</x:v>
      </x:c>
      <x:c r="C21" s="41" t="str">
        <x:v>太宰府→免稅店→LaLaport→機場</x:v>
      </x:c>
      <x:c r="D21" s="42" t="str">
        <x:v>飯店</x:v>
      </x:c>
      <x:c r="E21" s="42" t="str">
        <x:v>自理</x:v>
      </x:c>
      <x:c r="F21" s="42" t="str">
        <x:v>機上餐</x:v>
      </x:c>
      <x:c r="G21" s="41" t="str">
        <x:v>購物2站</x:v>
      </x:c>
      <x:c r="H21" s="41" t="str">
        <x:v>https://www.travel4u.com.tw/group/itinerary/FUK05KJ30/</x:v>
      </x:c>
    </x:row>
    <x:row r="22" ht="46" customHeight="1">
      <x:c r="A22" s="38" t="str">
        <x:v>T05</x:v>
      </x:c>
      <x:c r="B22" s="38" t="n">
        <x:v>1</x:v>
      </x:c>
      <x:c r="C22" s="41" t="str">
        <x:v>台中→北九州</x:v>
      </x:c>
      <x:c r="D22" s="42" t="str">
        <x:v>家中</x:v>
      </x:c>
      <x:c r="E22" s="42" t="str">
        <x:v>家中</x:v>
      </x:c>
      <x:c r="F22" s="42" t="str">
        <x:v>機上餐</x:v>
      </x:c>
      <x:c r="G22" s="41" t="str"/>
      <x:c r="H22" s="41" t="str">
        <x:v>https://tour.startravel.com.tw/itin/00001-KKJ05CI01/KKJ05261009A</x:v>
      </x:c>
    </x:row>
    <x:row r="23" ht="46" customHeight="1">
      <x:c r="A23" s="38" t="str">
        <x:v>T05</x:v>
      </x:c>
      <x:c r="B23" s="38" t="n">
        <x:v>2</x:v>
      </x:c>
      <x:c r="C23" s="41" t="str">
        <x:v>門司港→宇佐神宮→湯布院</x:v>
      </x:c>
      <x:c r="D23" s="42" t="str">
        <x:v>飯店</x:v>
      </x:c>
      <x:c r="E23" s="42" t="str">
        <x:v>日式御膳</x:v>
      </x:c>
      <x:c r="F23" s="42" t="str">
        <x:v>飯店料理</x:v>
      </x:c>
      <x:c r="G23" s="41" t="str"/>
      <x:c r="H23" s="41" t="str">
        <x:v>https://tour.startravel.com.tw/itin/00001-KKJ05CI01/KKJ05261009A</x:v>
      </x:c>
    </x:row>
    <x:row r="24" ht="46" customHeight="1">
      <x:c r="A24" s="38" t="str">
        <x:v>T05</x:v>
      </x:c>
      <x:c r="B24" s="38" t="n">
        <x:v>3</x:v>
      </x:c>
      <x:c r="C24" s="41" t="str">
        <x:v>九重吊橋→南阿蘇鐵道→高千穗</x:v>
      </x:c>
      <x:c r="D24" s="42" t="str">
        <x:v>飯店</x:v>
      </x:c>
      <x:c r="E24" s="42" t="str">
        <x:v>阿蘇料理</x:v>
      </x:c>
      <x:c r="F24" s="42" t="str">
        <x:v>螃蟹吃到飽</x:v>
      </x:c>
      <x:c r="G24" s="41" t="str"/>
      <x:c r="H24" s="41" t="str">
        <x:v>https://tour.startravel.com.tw/itin/00001-KKJ05CI01/KKJ05261009A</x:v>
      </x:c>
    </x:row>
    <x:row r="25" ht="46" customHeight="1">
      <x:c r="A25" s="38" t="str">
        <x:v>T05</x:v>
      </x:c>
      <x:c r="B25" s="38" t="n">
        <x:v>4</x:v>
      </x:c>
      <x:c r="C25" s="41" t="str">
        <x:v>熊本城→柳川→免稅店→太宰府</x:v>
      </x:c>
      <x:c r="D25" s="42" t="str">
        <x:v>飯店</x:v>
      </x:c>
      <x:c r="E25" s="42" t="str">
        <x:v>鰻魚御膳</x:v>
      </x:c>
      <x:c r="F25" s="42" t="str">
        <x:v>自理</x:v>
      </x:c>
      <x:c r="G25" s="41" t="str">
        <x:v>購物1站</x:v>
      </x:c>
      <x:c r="H25" s="41" t="str">
        <x:v>https://tour.startravel.com.tw/itin/00001-KKJ05CI01/KKJ05261009A</x:v>
      </x:c>
    </x:row>
    <x:row r="26" ht="46" customHeight="1">
      <x:c r="A26" s="38" t="str">
        <x:v>T05</x:v>
      </x:c>
      <x:c r="B26" s="38" t="n">
        <x:v>5</x:v>
      </x:c>
      <x:c r="C26" s="41" t="str">
        <x:v>福岡半日自由活動→機場</x:v>
      </x:c>
      <x:c r="D26" s="42" t="str">
        <x:v>飯店</x:v>
      </x:c>
      <x:c r="E26" s="42" t="str">
        <x:v>自理</x:v>
      </x:c>
      <x:c r="F26" s="42" t="str">
        <x:v>機上餐</x:v>
      </x:c>
      <x:c r="G26" s="41" t="str">
        <x:v>半日自由</x:v>
      </x:c>
      <x:c r="H26" s="41" t="str">
        <x:v>https://tour.startravel.com.tw/itin/00001-KKJ05CI01/KKJ05261009A</x:v>
      </x:c>
    </x:row>
    <x:row r="27" ht="46" customHeight="1">
      <x:c r="A27" s="38" t="str">
        <x:v>T06</x:v>
      </x:c>
      <x:c r="B27" s="38" t="n">
        <x:v>1</x:v>
      </x:c>
      <x:c r="C27" s="41" t="str">
        <x:v>台中→北九州</x:v>
      </x:c>
      <x:c r="D27" s="42" t="str">
        <x:v>家中</x:v>
      </x:c>
      <x:c r="E27" s="42" t="str">
        <x:v>家中</x:v>
      </x:c>
      <x:c r="F27" s="42" t="str">
        <x:v>機上餐</x:v>
      </x:c>
      <x:c r="G27" s="41" t="str"/>
      <x:c r="H27" s="41" t="str">
        <x:v>https://www.travel4u.com.tw/group/itinerary/FUK05KJ28/</x:v>
      </x:c>
    </x:row>
    <x:row r="28" ht="46" customHeight="1">
      <x:c r="A28" s="38" t="str">
        <x:v>T06</x:v>
      </x:c>
      <x:c r="B28" s="38" t="n">
        <x:v>2</x:v>
      </x:c>
      <x:c r="C28" s="41" t="str">
        <x:v>酒造→由布院→黑川溫泉</x:v>
      </x:c>
      <x:c r="D28" s="42" t="str">
        <x:v>飯店</x:v>
      </x:c>
      <x:c r="E28" s="42" t="str">
        <x:v>團體餐</x:v>
      </x:c>
      <x:c r="F28" s="42" t="str">
        <x:v>飯店料理</x:v>
      </x:c>
      <x:c r="G28" s="41" t="str">
        <x:v>酒造見學</x:v>
      </x:c>
      <x:c r="H28" s="41" t="str">
        <x:v>https://www.travel4u.com.tw/group/itinerary/FUK05KJ28/</x:v>
      </x:c>
    </x:row>
    <x:row r="29" ht="46" customHeight="1">
      <x:c r="A29" s="38" t="str">
        <x:v>T06</x:v>
      </x:c>
      <x:c r="B29" s="38" t="n">
        <x:v>3</x:v>
      </x:c>
      <x:c r="C29" s="41" t="str">
        <x:v>熊本熊電鐵等團體行程</x:v>
      </x:c>
      <x:c r="D29" s="42" t="str">
        <x:v>飯店</x:v>
      </x:c>
      <x:c r="E29" s="42" t="str">
        <x:v>團體餐</x:v>
      </x:c>
      <x:c r="F29" s="42" t="str">
        <x:v>自理</x:v>
      </x:c>
      <x:c r="G29" s="41" t="str">
        <x:v>自理1餐</x:v>
      </x:c>
      <x:c r="H29" s="41" t="str">
        <x:v>https://www.travel4u.com.tw/group/itinerary/FUK05KJ28/</x:v>
      </x:c>
    </x:row>
    <x:row r="30" ht="46" customHeight="1">
      <x:c r="A30" s="38" t="str">
        <x:v>T06</x:v>
      </x:c>
      <x:c r="B30" s="38" t="n">
        <x:v>4</x:v>
      </x:c>
      <x:c r="C30" s="41" t="str">
        <x:v>團體景點→免稅店／商場</x:v>
      </x:c>
      <x:c r="D30" s="42" t="str">
        <x:v>飯店</x:v>
      </x:c>
      <x:c r="E30" s="42" t="str">
        <x:v>自理</x:v>
      </x:c>
      <x:c r="F30" s="42" t="str">
        <x:v>自理</x:v>
      </x:c>
      <x:c r="G30" s="41" t="str">
        <x:v>自理2餐＋購物</x:v>
      </x:c>
      <x:c r="H30" s="41" t="str">
        <x:v>https://www.travel4u.com.tw/group/itinerary/FUK05KJ28/</x:v>
      </x:c>
    </x:row>
    <x:row r="31" ht="46" customHeight="1">
      <x:c r="A31" s="38" t="str">
        <x:v>T06</x:v>
      </x:c>
      <x:c r="B31" s="38" t="n">
        <x:v>5</x:v>
      </x:c>
      <x:c r="C31" s="41" t="str">
        <x:v>免稅店→機場</x:v>
      </x:c>
      <x:c r="D31" s="42" t="str">
        <x:v>飯店</x:v>
      </x:c>
      <x:c r="E31" s="42" t="str">
        <x:v>自理</x:v>
      </x:c>
      <x:c r="F31" s="42" t="str">
        <x:v>機上餐</x:v>
      </x:c>
      <x:c r="G31" s="41" t="str">
        <x:v>自理1餐＋購物</x:v>
      </x:c>
      <x:c r="H31" s="41" t="str">
        <x:v>https://www.travel4u.com.tw/group/itinerary/FUK05KJ28/</x:v>
      </x:c>
    </x:row>
    <x:row r="32" ht="46" customHeight="1">
      <x:c r="A32" s="38" t="str">
        <x:v>T07</x:v>
      </x:c>
      <x:c r="B32" s="38" t="n">
        <x:v>1</x:v>
      </x:c>
      <x:c r="C32" s="41" t="str">
        <x:v>台中→北九州</x:v>
      </x:c>
      <x:c r="D32" s="42" t="str">
        <x:v>家中</x:v>
      </x:c>
      <x:c r="E32" s="42" t="str">
        <x:v>家中</x:v>
      </x:c>
      <x:c r="F32" s="42" t="str">
        <x:v>機上餐</x:v>
      </x:c>
      <x:c r="G32" s="41" t="str"/>
      <x:c r="H32" s="41" t="str">
        <x:v>https://www.chinasky.com.tw/group_detail.asp?seq=11084</x:v>
      </x:c>
    </x:row>
    <x:row r="33" ht="46" customHeight="1">
      <x:c r="A33" s="38" t="str">
        <x:v>T07</x:v>
      </x:c>
      <x:c r="B33" s="38" t="n">
        <x:v>2</x:v>
      </x:c>
      <x:c r="C33" s="41" t="str">
        <x:v>門司港→唐戶市場→湯布院</x:v>
      </x:c>
      <x:c r="D33" s="42" t="str">
        <x:v>飯店</x:v>
      </x:c>
      <x:c r="E33" s="42" t="str">
        <x:v>自理</x:v>
      </x:c>
      <x:c r="F33" s="42" t="str">
        <x:v>飯店料理</x:v>
      </x:c>
      <x:c r="G33" s="41" t="str">
        <x:v>自理1餐</x:v>
      </x:c>
      <x:c r="H33" s="41" t="str">
        <x:v>https://www.chinasky.com.tw/group_detail.asp?seq=11084</x:v>
      </x:c>
    </x:row>
    <x:row r="34" ht="46" customHeight="1">
      <x:c r="A34" s="38" t="str">
        <x:v>T07</x:v>
      </x:c>
      <x:c r="B34" s="38" t="n">
        <x:v>3</x:v>
      </x:c>
      <x:c r="C34" s="41" t="str">
        <x:v>柳川等團體行程</x:v>
      </x:c>
      <x:c r="D34" s="42" t="str">
        <x:v>飯店</x:v>
      </x:c>
      <x:c r="E34" s="42" t="str">
        <x:v>團體餐</x:v>
      </x:c>
      <x:c r="F34" s="42" t="str">
        <x:v>自理</x:v>
      </x:c>
      <x:c r="G34" s="41" t="str">
        <x:v>自理1餐</x:v>
      </x:c>
      <x:c r="H34" s="41" t="str">
        <x:v>https://www.chinasky.com.tw/group_detail.asp?seq=11084</x:v>
      </x:c>
    </x:row>
    <x:row r="35" ht="46" customHeight="1">
      <x:c r="A35" s="38" t="str">
        <x:v>T07</x:v>
      </x:c>
      <x:c r="B35" s="38" t="n">
        <x:v>4</x:v>
      </x:c>
      <x:c r="C35" s="41" t="str">
        <x:v>整日自由活動</x:v>
      </x:c>
      <x:c r="D35" s="42" t="str">
        <x:v>飯店</x:v>
      </x:c>
      <x:c r="E35" s="42" t="str">
        <x:v>自理</x:v>
      </x:c>
      <x:c r="F35" s="42" t="str">
        <x:v>自理</x:v>
      </x:c>
      <x:c r="G35" s="41" t="str">
        <x:v>自由1日＋自理2餐</x:v>
      </x:c>
      <x:c r="H35" s="41" t="str">
        <x:v>https://www.chinasky.com.tw/group_detail.asp?seq=11084</x:v>
      </x:c>
    </x:row>
    <x:row r="36" ht="46" customHeight="1">
      <x:c r="A36" s="38" t="str">
        <x:v>T07</x:v>
      </x:c>
      <x:c r="B36" s="38" t="n">
        <x:v>5</x:v>
      </x:c>
      <x:c r="C36" s="41" t="str">
        <x:v>免稅店→LaLaport→機場</x:v>
      </x:c>
      <x:c r="D36" s="42" t="str">
        <x:v>飯店</x:v>
      </x:c>
      <x:c r="E36" s="42" t="str">
        <x:v>團體餐</x:v>
      </x:c>
      <x:c r="F36" s="42" t="str">
        <x:v>機上餐</x:v>
      </x:c>
      <x:c r="G36" s="41" t="str">
        <x:v>購物2站</x:v>
      </x:c>
      <x:c r="H36" s="41" t="str">
        <x:v>https://www.chinasky.com.tw/group_detail.asp?seq=11084</x:v>
      </x:c>
    </x:row>
    <x:row r="37" ht="46" customHeight="1">
      <x:c r="A37" s="38" t="str">
        <x:v>T08</x:v>
      </x:c>
      <x:c r="B37" s="38" t="n">
        <x:v>1</x:v>
      </x:c>
      <x:c r="C37" s="41" t="str">
        <x:v>台中→北九州</x:v>
      </x:c>
      <x:c r="D37" s="42" t="str">
        <x:v>家中</x:v>
      </x:c>
      <x:c r="E37" s="42" t="str">
        <x:v>家中</x:v>
      </x:c>
      <x:c r="F37" s="42" t="str">
        <x:v>機上餐</x:v>
      </x:c>
      <x:c r="G37" s="41" t="str"/>
      <x:c r="H37" s="41" t="str">
        <x:v>https://www.chinasky.com.tw/group_detail.asp?seq=11080</x:v>
      </x:c>
    </x:row>
    <x:row r="38" ht="46" customHeight="1">
      <x:c r="A38" s="38" t="str">
        <x:v>T08</x:v>
      </x:c>
      <x:c r="B38" s="38" t="n">
        <x:v>2</x:v>
      </x:c>
      <x:c r="C38" s="41" t="str">
        <x:v>豪斯登堡整日遊園</x:v>
      </x:c>
      <x:c r="D38" s="42" t="str">
        <x:v>飯店</x:v>
      </x:c>
      <x:c r="E38" s="42" t="str">
        <x:v>自理</x:v>
      </x:c>
      <x:c r="F38" s="42" t="str">
        <x:v>自理</x:v>
      </x:c>
      <x:c r="G38" s="41" t="str">
        <x:v>主題樂園，排除</x:v>
      </x:c>
      <x:c r="H38" s="41" t="str">
        <x:v>https://www.chinasky.com.tw/group_detail.asp?seq=11080</x:v>
      </x:c>
    </x:row>
    <x:row r="39" ht="46" customHeight="1">
      <x:c r="A39" s="38" t="str">
        <x:v>T08</x:v>
      </x:c>
      <x:c r="B39" s="38" t="n">
        <x:v>3</x:v>
      </x:c>
      <x:c r="C39" s="41" t="str">
        <x:v>豆田町等團體行程</x:v>
      </x:c>
      <x:c r="D39" s="42" t="str">
        <x:v>飯店</x:v>
      </x:c>
      <x:c r="E39" s="42" t="str">
        <x:v>團體餐</x:v>
      </x:c>
      <x:c r="F39" s="42" t="str">
        <x:v>團體餐</x:v>
      </x:c>
      <x:c r="G39" s="41" t="str"/>
      <x:c r="H39" s="41" t="str">
        <x:v>https://www.chinasky.com.tw/group_detail.asp?seq=11080</x:v>
      </x:c>
    </x:row>
    <x:row r="40" ht="46" customHeight="1">
      <x:c r="A40" s="38" t="str">
        <x:v>T08</x:v>
      </x:c>
      <x:c r="B40" s="38" t="n">
        <x:v>4</x:v>
      </x:c>
      <x:c r="C40" s="41" t="str">
        <x:v>柳川→湯布院等團體行程</x:v>
      </x:c>
      <x:c r="D40" s="42" t="str">
        <x:v>飯店</x:v>
      </x:c>
      <x:c r="E40" s="42" t="str">
        <x:v>團體餐</x:v>
      </x:c>
      <x:c r="F40" s="42" t="str">
        <x:v>團體餐</x:v>
      </x:c>
      <x:c r="G40" s="41" t="str">
        <x:v>商場1</x:v>
      </x:c>
      <x:c r="H40" s="41" t="str">
        <x:v>https://www.chinasky.com.tw/group_detail.asp?seq=11080</x:v>
      </x:c>
    </x:row>
    <x:row r="41" ht="46" customHeight="1">
      <x:c r="A41" s="38" t="str">
        <x:v>T08</x:v>
      </x:c>
      <x:c r="B41" s="38" t="n">
        <x:v>5</x:v>
      </x:c>
      <x:c r="C41" s="41" t="str">
        <x:v>太宰府→機場</x:v>
      </x:c>
      <x:c r="D41" s="42" t="str">
        <x:v>飯店</x:v>
      </x:c>
      <x:c r="E41" s="42" t="str">
        <x:v>團體餐</x:v>
      </x:c>
      <x:c r="F41" s="42" t="str">
        <x:v>機上餐</x:v>
      </x:c>
      <x:c r="G41" s="41" t="str"/>
      <x:c r="H41" s="41" t="str">
        <x:v>https://www.chinasky.com.tw/group_detail.asp?seq=11080</x:v>
      </x:c>
    </x:row>
    <x:row r="42" ht="46" customHeight="1">
      <x:c r="A42" s="38" t="str">
        <x:v>T09</x:v>
      </x:c>
      <x:c r="B42" s="38" t="n">
        <x:v>1</x:v>
      </x:c>
      <x:c r="C42" s="41" t="str">
        <x:v>台中→北九州→福岡飯店</x:v>
      </x:c>
      <x:c r="D42" s="42" t="str">
        <x:v>自理</x:v>
      </x:c>
      <x:c r="E42" s="42" t="str">
        <x:v>自理</x:v>
      </x:c>
      <x:c r="F42" s="42" t="str">
        <x:v>機上餐</x:v>
      </x:c>
      <x:c r="G42" s="41" t="str"/>
      <x:c r="H42" s="41" t="str">
        <x:v>https://www.mta.com.tw/group_detail.asp?seq=11088</x:v>
      </x:c>
    </x:row>
    <x:row r="43" ht="46" customHeight="1">
      <x:c r="A43" s="38" t="str">
        <x:v>T09</x:v>
      </x:c>
      <x:c r="B43" s="38" t="n">
        <x:v>2</x:v>
      </x:c>
      <x:c r="C43" s="41" t="str">
        <x:v>自由活動</x:v>
      </x:c>
      <x:c r="D43" s="42" t="str">
        <x:v>自理</x:v>
      </x:c>
      <x:c r="E43" s="42" t="str">
        <x:v>自理</x:v>
      </x:c>
      <x:c r="F43" s="42" t="str">
        <x:v>自理</x:v>
      </x:c>
      <x:c r="G43" s="41" t="str">
        <x:v>自由1日</x:v>
      </x:c>
      <x:c r="H43" s="41" t="str">
        <x:v>https://www.mta.com.tw/group_detail.asp?seq=11088</x:v>
      </x:c>
    </x:row>
    <x:row r="44" ht="46" customHeight="1">
      <x:c r="A44" s="38" t="str">
        <x:v>T09</x:v>
      </x:c>
      <x:c r="B44" s="38" t="n">
        <x:v>3</x:v>
      </x:c>
      <x:c r="C44" s="41" t="str">
        <x:v>自由活動</x:v>
      </x:c>
      <x:c r="D44" s="42" t="str">
        <x:v>自理</x:v>
      </x:c>
      <x:c r="E44" s="42" t="str">
        <x:v>自理</x:v>
      </x:c>
      <x:c r="F44" s="42" t="str">
        <x:v>自理</x:v>
      </x:c>
      <x:c r="G44" s="41" t="str">
        <x:v>自由1日</x:v>
      </x:c>
      <x:c r="H44" s="41" t="str">
        <x:v>https://www.mta.com.tw/group_detail.asp?seq=11088</x:v>
      </x:c>
    </x:row>
    <x:row r="45" ht="46" customHeight="1">
      <x:c r="A45" s="38" t="str">
        <x:v>T09</x:v>
      </x:c>
      <x:c r="B45" s="38" t="n">
        <x:v>4</x:v>
      </x:c>
      <x:c r="C45" s="41" t="str">
        <x:v>自由活動</x:v>
      </x:c>
      <x:c r="D45" s="42" t="str">
        <x:v>自理</x:v>
      </x:c>
      <x:c r="E45" s="42" t="str">
        <x:v>自理</x:v>
      </x:c>
      <x:c r="F45" s="42" t="str">
        <x:v>自理</x:v>
      </x:c>
      <x:c r="G45" s="41" t="str">
        <x:v>自由1日</x:v>
      </x:c>
      <x:c r="H45" s="41" t="str">
        <x:v>https://www.mta.com.tw/group_detail.asp?seq=11088</x:v>
      </x:c>
    </x:row>
    <x:row r="46" ht="46" customHeight="1">
      <x:c r="A46" s="48" t="str">
        <x:v>T09</x:v>
      </x:c>
      <x:c r="B46" s="48" t="n">
        <x:v>5</x:v>
      </x:c>
      <x:c r="C46" s="46" t="str">
        <x:v>自由活動→機場</x:v>
      </x:c>
      <x:c r="D46" s="52" t="str">
        <x:v>自理</x:v>
      </x:c>
      <x:c r="E46" s="52" t="str">
        <x:v>自理</x:v>
      </x:c>
      <x:c r="F46" s="52" t="str">
        <x:v>機上餐</x:v>
      </x:c>
      <x:c r="G46" s="46" t="str">
        <x:v>自由半日</x:v>
      </x:c>
      <x:c r="H46" s="46" t="str">
        <x:v>https://www.mta.com.tw/group_detail.asp?seq=11088</x:v>
      </x:c>
    </x:row>
  </x:sheetData>
  <x:pageMargins left="0.7" right="0.7" top="0.75" bottom="0.75" header="0.3" footer="0.3"/>
  <x:tableParts count="1">
    <x:tablePart xmlns:r="http://schemas.openxmlformats.org/officeDocument/2006/relationships" r:id="R66ecd58bf91949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4" hidden="0" customWidth="1"/>
    <x:col min="3" max="3" width="14" hidden="0" customWidth="1"/>
    <x:col min="4" max="4" width="14" hidden="0" customWidth="1"/>
    <x:col min="5" max="5" width="30" hidden="0" customWidth="1"/>
    <x:col min="6" max="6" width="62" hidden="0" customWidth="1"/>
  </x:cols>
  <x:sheetData>
    <x:row r="1">
      <x:c r="A1" s="32" t="str">
        <x:v>團型／產品碼</x:v>
      </x:c>
      <x:c r="B1" s="32" t="str">
        <x:v>銷售旅行社或平台</x:v>
      </x:c>
      <x:c r="C1" s="32" t="str">
        <x:v>9/25售價</x:v>
      </x:c>
      <x:c r="D1" s="32" t="str">
        <x:v>可售席次</x:v>
      </x:c>
      <x:c r="E1" s="32" t="str">
        <x:v>價格說明</x:v>
      </x:c>
      <x:c r="F1" s="32" t="str">
        <x:v>來源網址</x:v>
      </x:c>
    </x:row>
    <x:row r="2">
      <x:c r="A2" s="28" t="str">
        <x:v>FUK05260925A</x:v>
      </x:c>
      <x:c r="B2" s="28" t="str">
        <x:v>旅遊家旅行社</x:v>
      </x:c>
      <x:c r="C2" s="34" t="n">
        <x:v>35900</x:v>
      </x:c>
      <x:c r="D2" s="28" t="n">
        <x:v>25</x:v>
      </x:c>
      <x:c r="E2" s="16" t="str">
        <x:v>9/25專屬頁面</x:v>
      </x:c>
      <x:c r="F2" s="16" t="str">
        <x:v>https://b2b.travelerts.com.tw/EW/GO/GroupDetail.asp?prodCd=FUK05260925A</x:v>
      </x:c>
    </x:row>
    <x:row r="3">
      <x:c r="A3" s="28" t="str">
        <x:v>CIKKJ5D03</x:v>
      </x:c>
      <x:c r="B3" s="28" t="str">
        <x:v>華府旅行社</x:v>
      </x:c>
      <x:c r="C3" s="34" t="n">
        <x:v>43900</x:v>
      </x:c>
      <x:c r="D3" s="28"/>
      <x:c r="E3" s="16" t="str">
        <x:v>9/25直接售價</x:v>
      </x:c>
      <x:c r="F3" s="16" t="str">
        <x:v>https://www.go100tour.com/products/group/detail/CIKKJ260925C</x:v>
      </x:c>
    </x:row>
    <x:row r="4">
      <x:c r="A4" s="28" t="str">
        <x:v>CIKKJ5D03</x:v>
      </x:c>
      <x:c r="B4" s="28" t="str">
        <x:v>富丞旅行社</x:v>
      </x:c>
      <x:c r="C4" s="34" t="n">
        <x:v>46900</x:v>
      </x:c>
      <x:c r="D4" s="28" t="n">
        <x:v>28</x:v>
      </x:c>
      <x:c r="E4" s="16" t="str">
        <x:v>同團型不同通路；高3,000元</x:v>
      </x:c>
      <x:c r="F4" s="16" t="str">
        <x:v>https://www.cheerstour.com.tw/group_detail.asp?seq=11087</x:v>
      </x:c>
    </x:row>
    <x:row r="5">
      <x:c r="A5" s="28" t="str">
        <x:v>FUK05KJ29</x:v>
      </x:c>
      <x:c r="B5" s="28" t="str">
        <x:v>山富旅遊</x:v>
      </x:c>
      <x:c r="C5" s="34" t="n">
        <x:v>36900</x:v>
      </x:c>
      <x:c r="D5" s="28" t="n">
        <x:v>21</x:v>
      </x:c>
      <x:c r="E5" s="16" t="str">
        <x:v>9/25團期</x:v>
      </x:c>
      <x:c r="F5" s="16" t="str">
        <x:v>https://www.travel4u.com.tw/group/itinerary/FUK05KJ29/</x:v>
      </x:c>
    </x:row>
    <x:row r="6">
      <x:c r="A6" s="28" t="str">
        <x:v>FUK05KJ30</x:v>
      </x:c>
      <x:c r="B6" s="28" t="str">
        <x:v>山富旅遊</x:v>
      </x:c>
      <x:c r="C6" s="34" t="n">
        <x:v>36900</x:v>
      </x:c>
      <x:c r="D6" s="28" t="n">
        <x:v>23</x:v>
      </x:c>
      <x:c r="E6" s="16" t="str">
        <x:v>9/25團期</x:v>
      </x:c>
      <x:c r="F6" s="16" t="str">
        <x:v>https://www.travel4u.com.tw/group/itinerary/FUK05KJ30/</x:v>
      </x:c>
    </x:row>
    <x:row r="7">
      <x:c r="A7" s="28" t="str">
        <x:v>FUK05KJ28</x:v>
      </x:c>
      <x:c r="B7" s="28" t="str">
        <x:v>山富旅遊</x:v>
      </x:c>
      <x:c r="C7" s="34" t="n">
        <x:v>34900</x:v>
      </x:c>
      <x:c r="D7" s="28" t="n">
        <x:v>23</x:v>
      </x:c>
      <x:c r="E7" s="16" t="str">
        <x:v>9/25團期</x:v>
      </x:c>
      <x:c r="F7" s="16" t="str">
        <x:v>https://www.travel4u.com.tw/group/itinerary/FUK05KJ28/</x:v>
      </x:c>
    </x:row>
    <x:row r="8">
      <x:c r="A8" s="28" t="str">
        <x:v>CIKKJ5D01</x:v>
      </x:c>
      <x:c r="B8" s="28" t="str">
        <x:v>華府旅行社</x:v>
      </x:c>
      <x:c r="C8" s="34" t="n">
        <x:v>36900</x:v>
      </x:c>
      <x:c r="D8" s="28" t="n">
        <x:v>27</x:v>
      </x:c>
      <x:c r="E8" s="16" t="str">
        <x:v>9/25；華府／中天聯盟商品</x:v>
      </x:c>
      <x:c r="F8" s="16" t="str">
        <x:v>https://www.chinasky.com.tw/group_detail.asp?seq=11084</x:v>
      </x:c>
    </x:row>
    <x:row r="9">
      <x:c r="A9" s="28" t="str">
        <x:v>CIKKJ5D02</x:v>
      </x:c>
      <x:c r="B9" s="28" t="str">
        <x:v>中天旅行社</x:v>
      </x:c>
      <x:c r="C9" s="34" t="n">
        <x:v>43900</x:v>
      </x:c>
      <x:c r="D9" s="28" t="n">
        <x:v>32</x:v>
      </x:c>
      <x:c r="E9" s="16" t="str">
        <x:v>9/25；含豪斯登堡</x:v>
      </x:c>
      <x:c r="F9" s="16" t="str">
        <x:v>https://www.chinasky.com.tw/group_detail.asp?seq=11080</x:v>
      </x:c>
    </x:row>
    <x:row r="10">
      <x:c r="A10" s="28" t="str">
        <x:v>FIT-KKJ5</x:v>
      </x:c>
      <x:c r="B10" s="28" t="str">
        <x:v>中天旅行社</x:v>
      </x:c>
      <x:c r="C10" s="34" t="n">
        <x:v>30900</x:v>
      </x:c>
      <x:c r="D10" s="28" t="n">
        <x:v>10</x:v>
      </x:c>
      <x:c r="E10" s="16" t="str">
        <x:v>9/25機加酒自由行</x:v>
      </x:c>
      <x:c r="F10" s="16" t="str">
        <x:v>https://www.mta.com.tw/group_detail.asp?seq=11088</x:v>
      </x:c>
    </x:row>
    <x:row r="11">
      <x:c r="A11" s="33" t="str">
        <x:v>KKJ05CI01</x:v>
      </x:c>
      <x:c r="B11" s="33" t="str">
        <x:v>燦星旅遊</x:v>
      </x:c>
      <x:c r="C11" s="35" t="n">
        <x:v>45900</x:v>
      </x:c>
      <x:c r="D11" s="33" t="n">
        <x:v>7</x:v>
      </x:c>
      <x:c r="E11" s="20" t="str">
        <x:v>9/25；頁面列32席</x:v>
      </x:c>
      <x:c r="F11" s="20" t="str">
        <x:v>https://tour.startravel.com.tw/itin/00001-KKJ05CI01/KKJ05261009A</x:v>
      </x:c>
    </x:row>
  </x:sheetData>
  <x:pageMargins left="0.7" right="0.7" top="0.75" bottom="0.75" header="0.3" footer="0.3"/>
  <x:tableParts count="1">
    <x:tablePart xmlns:r="http://schemas.openxmlformats.org/officeDocument/2006/relationships" r:id="Ra36fb77c618344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62" hidden="0" customWidth="1"/>
  </x:cols>
  <x:sheetData>
    <x:row r="1">
      <x:c r="A1" s="2" t="str">
        <x:v>評分規則</x:v>
      </x:c>
      <x:c r="B1" s="2" t="str">
        <x:v>分數／扣分</x:v>
      </x:c>
    </x:row>
    <x:row r="2">
      <x:c r="A2" s="3" t="str">
        <x:v>起始分</x:v>
      </x:c>
      <x:c r="B2" t="n">
        <x:v>100</x:v>
      </x:c>
    </x:row>
    <x:row r="3">
      <x:c r="A3" s="3" t="str">
        <x:v>每一整日自由活動</x:v>
      </x:c>
      <x:c r="B3" t="n">
        <x:v>35</x:v>
      </x:c>
    </x:row>
    <x:row r="4">
      <x:c r="A4" s="3" t="str">
        <x:v>每一餐自理</x:v>
      </x:c>
      <x:c r="B4" t="n">
        <x:v>8</x:v>
      </x:c>
    </x:row>
    <x:row r="5">
      <x:c r="A5" s="3" t="str">
        <x:v>每一免稅店</x:v>
      </x:c>
      <x:c r="B5" t="n">
        <x:v>8</x:v>
      </x:c>
    </x:row>
    <x:row r="6">
      <x:c r="A6" s="3" t="str">
        <x:v>每一購物中心／Outlet</x:v>
      </x:c>
      <x:c r="B6" t="n">
        <x:v>4</x:v>
      </x:c>
    </x:row>
    <x:row r="7">
      <x:c r="A7" s="3" t="str">
        <x:v>每一商品型工廠／酒造見學</x:v>
      </x:c>
      <x:c r="B7" t="n">
        <x:v>4</x:v>
      </x:c>
    </x:row>
    <x:row r="8">
      <x:c r="A8" s="3" t="str">
        <x:v>有遊樂園</x:v>
      </x:c>
      <x:c r="B8" t="str">
        <x:v>直接0分</x:v>
      </x:c>
    </x:row>
    <x:row r="10">
      <x:c r="A10" s="5" t="str">
        <x:v>判讀原則</x:v>
      </x:c>
      <x:c r="B10" s="5" t="str">
        <x:v>說明</x:v>
      </x:c>
    </x:row>
    <x:row r="11">
      <x:c r="A11" t="str">
        <x:v>日期範圍</x:v>
      </x:c>
      <x:c r="B11" t="str">
        <x:v>只收錄2026/09/25從台中出發的公開可檢索產品</x:v>
      </x:c>
    </x:row>
    <x:row r="12">
      <x:c r="A12" t="str">
        <x:v>Safari Land</x:v>
      </x:c>
      <x:c r="B12" t="str">
        <x:v>自然動物園，未視為機械遊樂園；若連動物園也不要，請排除T02</x:v>
      </x:c>
    </x:row>
    <x:row r="13">
      <x:c r="A13" t="str">
        <x:v>半日自由活動</x:v>
      </x:c>
      <x:c r="B13" t="str">
        <x:v>按0.5日計算，自評分扣17.5分</x:v>
      </x:c>
    </x:row>
    <x:row r="14">
      <x:c r="A14" t="str">
        <x:v>資料時間</x:v>
      </x:c>
      <x:c r="B14" t="str">
        <x:v>2026-07-13；售價與席次可能即時變動</x:v>
      </x:c>
    </x:row>
  </x:sheetData>
  <x:pageMargins left="0.7" right="0.7" top="0.75" bottom="0.75" header="0.3" footer="0.3"/>
</x:worksheet>
</file>